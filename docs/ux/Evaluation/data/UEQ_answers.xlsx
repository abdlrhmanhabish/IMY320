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wsl.localhost\Ubuntu\home\abdlrhmanhabish\IMY320\docs\ux\Evaluation\data\"/>
    </mc:Choice>
  </mc:AlternateContent>
  <xr:revisionPtr revIDLastSave="0" documentId="13_ncr:1_{277DC4A7-5BF1-4F9C-8ABB-70BEFE6B2DD2}" xr6:coauthVersionLast="47" xr6:coauthVersionMax="47" xr10:uidLastSave="{00000000-0000-0000-0000-000000000000}"/>
  <bookViews>
    <workbookView xWindow="-110" yWindow="-110" windowWidth="22620" windowHeight="13500" tabRatio="500" xr2:uid="{00000000-000D-0000-FFFF-FFFF00000000}"/>
  </bookViews>
  <sheets>
    <sheet name="UEQ answer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1" i="1" l="1"/>
  <c r="H41" i="1"/>
  <c r="G41" i="1"/>
  <c r="F41" i="1"/>
  <c r="E41" i="1"/>
  <c r="D41" i="1"/>
  <c r="I41" i="1" s="1"/>
  <c r="J40" i="1"/>
  <c r="H40" i="1"/>
  <c r="H42" i="1" s="1"/>
  <c r="G40" i="1"/>
  <c r="G42" i="1" s="1"/>
  <c r="F40" i="1"/>
  <c r="F42" i="1" s="1"/>
  <c r="E40" i="1"/>
  <c r="E42" i="1" s="1"/>
  <c r="D40" i="1"/>
  <c r="J39" i="1"/>
  <c r="H39" i="1"/>
  <c r="G39" i="1"/>
  <c r="F39" i="1"/>
  <c r="E39" i="1"/>
  <c r="D39" i="1"/>
  <c r="I39" i="1" s="1"/>
  <c r="J38" i="1"/>
  <c r="H38" i="1"/>
  <c r="G38" i="1"/>
  <c r="F38" i="1"/>
  <c r="E38" i="1"/>
  <c r="D38" i="1"/>
  <c r="I38" i="1" s="1"/>
  <c r="J37" i="1"/>
  <c r="H37" i="1"/>
  <c r="G37" i="1"/>
  <c r="F37" i="1"/>
  <c r="E37" i="1"/>
  <c r="D37" i="1"/>
  <c r="I37" i="1" s="1"/>
  <c r="J36" i="1"/>
  <c r="H36" i="1"/>
  <c r="G36" i="1"/>
  <c r="F36" i="1"/>
  <c r="E36" i="1"/>
  <c r="D36" i="1"/>
  <c r="I36" i="1" s="1"/>
  <c r="J35" i="1"/>
  <c r="H35" i="1"/>
  <c r="G35" i="1"/>
  <c r="F35" i="1"/>
  <c r="E35" i="1"/>
  <c r="D35" i="1"/>
  <c r="I35" i="1" s="1"/>
  <c r="H34" i="1"/>
  <c r="G34" i="1"/>
  <c r="F34" i="1"/>
  <c r="E34" i="1"/>
  <c r="D34" i="1"/>
  <c r="I40" i="1" l="1"/>
  <c r="D42" i="1"/>
  <c r="I34" i="1"/>
  <c r="J34" i="1"/>
  <c r="I42" i="1" l="1"/>
  <c r="J42" i="1"/>
</calcChain>
</file>

<file path=xl/sharedStrings.xml><?xml version="1.0" encoding="utf-8"?>
<sst xmlns="http://schemas.openxmlformats.org/spreadsheetml/2006/main" count="94" uniqueCount="89">
  <si>
    <t>UEQ answers for SkillUP</t>
  </si>
  <si>
    <t>#</t>
  </si>
  <si>
    <t>Left word</t>
  </si>
  <si>
    <t>Right word</t>
  </si>
  <si>
    <t>P1</t>
  </si>
  <si>
    <t>P2</t>
  </si>
  <si>
    <t>P3</t>
  </si>
  <si>
    <t>P4</t>
  </si>
  <si>
    <t>P5</t>
  </si>
  <si>
    <t>annoying</t>
  </si>
  <si>
    <t>enjoyable</t>
  </si>
  <si>
    <t>not understandable</t>
  </si>
  <si>
    <t>understandable</t>
  </si>
  <si>
    <t>creative</t>
  </si>
  <si>
    <t>dull</t>
  </si>
  <si>
    <t>easy to learn</t>
  </si>
  <si>
    <t>difficult to learn</t>
  </si>
  <si>
    <t>valuable</t>
  </si>
  <si>
    <t>inferior</t>
  </si>
  <si>
    <t>boring</t>
  </si>
  <si>
    <t>exciting</t>
  </si>
  <si>
    <t>not interesting</t>
  </si>
  <si>
    <t>interesting</t>
  </si>
  <si>
    <t>unpredictable</t>
  </si>
  <si>
    <t>predictable</t>
  </si>
  <si>
    <t>fast</t>
  </si>
  <si>
    <t>slow</t>
  </si>
  <si>
    <t>inventive</t>
  </si>
  <si>
    <t>conventional</t>
  </si>
  <si>
    <t>obstructive</t>
  </si>
  <si>
    <t>supportive</t>
  </si>
  <si>
    <t>good</t>
  </si>
  <si>
    <t>bad</t>
  </si>
  <si>
    <t>complicated</t>
  </si>
  <si>
    <t>easy</t>
  </si>
  <si>
    <t>unlikable</t>
  </si>
  <si>
    <t>pleasing</t>
  </si>
  <si>
    <t>usual</t>
  </si>
  <si>
    <t>leading edge</t>
  </si>
  <si>
    <t>unpleasant</t>
  </si>
  <si>
    <t>pleasant</t>
  </si>
  <si>
    <t>secure</t>
  </si>
  <si>
    <t>not secure</t>
  </si>
  <si>
    <t>motivating</t>
  </si>
  <si>
    <t>demotivating</t>
  </si>
  <si>
    <t>meets expectations</t>
  </si>
  <si>
    <t>does not meet expectations</t>
  </si>
  <si>
    <t>inefficient</t>
  </si>
  <si>
    <t>efficient</t>
  </si>
  <si>
    <t>clear</t>
  </si>
  <si>
    <t>confusing</t>
  </si>
  <si>
    <t>impractical</t>
  </si>
  <si>
    <t>practical</t>
  </si>
  <si>
    <t>organized</t>
  </si>
  <si>
    <t>cluttered</t>
  </si>
  <si>
    <t>attractive</t>
  </si>
  <si>
    <t>unattractive</t>
  </si>
  <si>
    <t>friendly</t>
  </si>
  <si>
    <t>unfriendly</t>
  </si>
  <si>
    <t>conservative</t>
  </si>
  <si>
    <t>innovative</t>
  </si>
  <si>
    <t>Form saved at</t>
  </si>
  <si>
    <t>11:02:05</t>
  </si>
  <si>
    <t>11:16:36</t>
  </si>
  <si>
    <t>11:26:12</t>
  </si>
  <si>
    <t>11:40:47</t>
  </si>
  <si>
    <t>12:10:05</t>
  </si>
  <si>
    <t>Scale</t>
  </si>
  <si>
    <t>Items</t>
  </si>
  <si>
    <t>Mean</t>
  </si>
  <si>
    <t>SD</t>
  </si>
  <si>
    <t>Attractiveness</t>
  </si>
  <si>
    <t>1, 12, 14, 16, 24, 25</t>
  </si>
  <si>
    <t>Perspicuity</t>
  </si>
  <si>
    <t>2, 4, 13, 21</t>
  </si>
  <si>
    <t>Efficiency</t>
  </si>
  <si>
    <t>9, 20, 22, 23</t>
  </si>
  <si>
    <t>Dependability</t>
  </si>
  <si>
    <t>8, 11, 17, 19</t>
  </si>
  <si>
    <t>Stimulation</t>
  </si>
  <si>
    <t>5, 6, 7, 18</t>
  </si>
  <si>
    <t>Novelty</t>
  </si>
  <si>
    <t>3, 10, 15, 26</t>
  </si>
  <si>
    <t>Pragmatic quality (UEQ-S)</t>
  </si>
  <si>
    <t>11, 13, 20, 21</t>
  </si>
  <si>
    <t>Hedonic quality (UEQ-S)</t>
  </si>
  <si>
    <t>6, 7, 10, 15</t>
  </si>
  <si>
    <t>UEQ-S overall</t>
  </si>
  <si>
    <t>Mean of the two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</si>
</sst>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9"/>
      <color rgb="FF55534E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rgb="FF55534E"/>
      <name val="Arial"/>
      <family val="2"/>
    </font>
    <font>
      <b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0E9"/>
        <bgColor rgb="FFFFFFCC"/>
      </patternFill>
    </fill>
  </fills>
  <borders count="2">
    <border>
      <left/>
      <right/>
      <top/>
      <bottom/>
      <diagonal/>
    </border>
    <border>
      <left style="thin">
        <color rgb="FFCFCBC2"/>
      </left>
      <right style="thin">
        <color rgb="FFCFCBC2"/>
      </right>
      <top style="thin">
        <color rgb="FFCFCBC2"/>
      </top>
      <bottom style="thin">
        <color rgb="FFCFCBC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3" fillId="0" borderId="1" xfId="0" applyFont="1" applyBorder="1"/>
    <xf numFmtId="2" fontId="4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0E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BC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34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6"/>
  <sheetViews>
    <sheetView tabSelected="1" topLeftCell="A14" zoomScaleNormal="100" workbookViewId="0">
      <selection activeCell="B51" sqref="B51"/>
    </sheetView>
  </sheetViews>
  <sheetFormatPr defaultColWidth="8.6328125" defaultRowHeight="14.5" x14ac:dyDescent="0.35"/>
  <cols>
    <col min="1" max="1" width="5" customWidth="1"/>
    <col min="2" max="2" width="22" customWidth="1"/>
    <col min="3" max="3" width="26" customWidth="1"/>
    <col min="4" max="8" width="9" customWidth="1"/>
    <col min="9" max="10" width="8" customWidth="1"/>
  </cols>
  <sheetData>
    <row r="1" spans="1:8" ht="18" x14ac:dyDescent="0.4">
      <c r="A1" s="1" t="s">
        <v>0</v>
      </c>
    </row>
    <row r="2" spans="1:8" x14ac:dyDescent="0.35">
      <c r="A2" s="2"/>
    </row>
    <row r="4" spans="1:8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spans="1:8" x14ac:dyDescent="0.35">
      <c r="A5" s="4">
        <v>1</v>
      </c>
      <c r="B5" s="5" t="s">
        <v>9</v>
      </c>
      <c r="C5" s="6" t="s">
        <v>10</v>
      </c>
      <c r="D5" s="4">
        <v>7</v>
      </c>
      <c r="E5" s="4">
        <v>5</v>
      </c>
      <c r="F5" s="4">
        <v>4</v>
      </c>
      <c r="G5" s="4">
        <v>5</v>
      </c>
      <c r="H5" s="4">
        <v>5</v>
      </c>
    </row>
    <row r="6" spans="1:8" x14ac:dyDescent="0.35">
      <c r="A6" s="4">
        <v>2</v>
      </c>
      <c r="B6" s="5" t="s">
        <v>11</v>
      </c>
      <c r="C6" s="6" t="s">
        <v>12</v>
      </c>
      <c r="D6" s="4">
        <v>6</v>
      </c>
      <c r="E6" s="4">
        <v>6</v>
      </c>
      <c r="F6" s="4">
        <v>3</v>
      </c>
      <c r="G6" s="4">
        <v>5</v>
      </c>
      <c r="H6" s="4">
        <v>6</v>
      </c>
    </row>
    <row r="7" spans="1:8" x14ac:dyDescent="0.35">
      <c r="A7" s="4">
        <v>3</v>
      </c>
      <c r="B7" s="6" t="s">
        <v>13</v>
      </c>
      <c r="C7" s="5" t="s">
        <v>14</v>
      </c>
      <c r="D7" s="4">
        <v>1</v>
      </c>
      <c r="E7" s="4">
        <v>2</v>
      </c>
      <c r="F7" s="4">
        <v>6</v>
      </c>
      <c r="G7" s="4">
        <v>3</v>
      </c>
      <c r="H7" s="4">
        <v>4</v>
      </c>
    </row>
    <row r="8" spans="1:8" x14ac:dyDescent="0.35">
      <c r="A8" s="4">
        <v>4</v>
      </c>
      <c r="B8" s="6" t="s">
        <v>15</v>
      </c>
      <c r="C8" s="5" t="s">
        <v>16</v>
      </c>
      <c r="D8" s="4">
        <v>1</v>
      </c>
      <c r="E8" s="4">
        <v>2</v>
      </c>
      <c r="F8" s="4">
        <v>4</v>
      </c>
      <c r="G8" s="4">
        <v>3</v>
      </c>
      <c r="H8" s="4">
        <v>3</v>
      </c>
    </row>
    <row r="9" spans="1:8" x14ac:dyDescent="0.35">
      <c r="A9" s="4">
        <v>5</v>
      </c>
      <c r="B9" s="6" t="s">
        <v>17</v>
      </c>
      <c r="C9" s="5" t="s">
        <v>18</v>
      </c>
      <c r="D9" s="4">
        <v>1</v>
      </c>
      <c r="E9" s="4">
        <v>2</v>
      </c>
      <c r="F9" s="4">
        <v>3</v>
      </c>
      <c r="G9" s="4">
        <v>3</v>
      </c>
      <c r="H9" s="4">
        <v>3</v>
      </c>
    </row>
    <row r="10" spans="1:8" x14ac:dyDescent="0.35">
      <c r="A10" s="4">
        <v>6</v>
      </c>
      <c r="B10" s="5" t="s">
        <v>19</v>
      </c>
      <c r="C10" s="6" t="s">
        <v>20</v>
      </c>
      <c r="D10" s="4">
        <v>6</v>
      </c>
      <c r="E10" s="4">
        <v>5</v>
      </c>
      <c r="F10" s="4">
        <v>3</v>
      </c>
      <c r="G10" s="4">
        <v>4</v>
      </c>
      <c r="H10" s="4">
        <v>3</v>
      </c>
    </row>
    <row r="11" spans="1:8" x14ac:dyDescent="0.35">
      <c r="A11" s="4">
        <v>7</v>
      </c>
      <c r="B11" s="5" t="s">
        <v>21</v>
      </c>
      <c r="C11" s="6" t="s">
        <v>22</v>
      </c>
      <c r="D11" s="4">
        <v>7</v>
      </c>
      <c r="E11" s="4">
        <v>5</v>
      </c>
      <c r="F11" s="4">
        <v>4</v>
      </c>
      <c r="G11" s="4">
        <v>5</v>
      </c>
      <c r="H11" s="4">
        <v>5</v>
      </c>
    </row>
    <row r="12" spans="1:8" x14ac:dyDescent="0.35">
      <c r="A12" s="4">
        <v>8</v>
      </c>
      <c r="B12" s="5" t="s">
        <v>23</v>
      </c>
      <c r="C12" s="6" t="s">
        <v>24</v>
      </c>
      <c r="D12" s="4">
        <v>7</v>
      </c>
      <c r="E12" s="4">
        <v>4</v>
      </c>
      <c r="F12" s="4">
        <v>5</v>
      </c>
      <c r="G12" s="4">
        <v>5</v>
      </c>
      <c r="H12" s="4">
        <v>5</v>
      </c>
    </row>
    <row r="13" spans="1:8" x14ac:dyDescent="0.35">
      <c r="A13" s="4">
        <v>9</v>
      </c>
      <c r="B13" s="6" t="s">
        <v>25</v>
      </c>
      <c r="C13" s="5" t="s">
        <v>26</v>
      </c>
      <c r="D13" s="4">
        <v>1</v>
      </c>
      <c r="E13" s="4">
        <v>3</v>
      </c>
      <c r="F13" s="4">
        <v>2</v>
      </c>
      <c r="G13" s="4">
        <v>2</v>
      </c>
      <c r="H13" s="4">
        <v>3</v>
      </c>
    </row>
    <row r="14" spans="1:8" x14ac:dyDescent="0.35">
      <c r="A14" s="4">
        <v>10</v>
      </c>
      <c r="B14" s="6" t="s">
        <v>27</v>
      </c>
      <c r="C14" s="5" t="s">
        <v>28</v>
      </c>
      <c r="D14" s="4">
        <v>3</v>
      </c>
      <c r="E14" s="4">
        <v>3</v>
      </c>
      <c r="F14" s="4">
        <v>5</v>
      </c>
      <c r="G14" s="4">
        <v>6</v>
      </c>
      <c r="H14" s="4">
        <v>6</v>
      </c>
    </row>
    <row r="15" spans="1:8" x14ac:dyDescent="0.35">
      <c r="A15" s="4">
        <v>11</v>
      </c>
      <c r="B15" s="5" t="s">
        <v>29</v>
      </c>
      <c r="C15" s="6" t="s">
        <v>30</v>
      </c>
      <c r="D15" s="4">
        <v>7</v>
      </c>
      <c r="E15" s="4">
        <v>6</v>
      </c>
      <c r="F15" s="4">
        <v>5</v>
      </c>
      <c r="G15" s="4">
        <v>6</v>
      </c>
      <c r="H15" s="4">
        <v>4</v>
      </c>
    </row>
    <row r="16" spans="1:8" x14ac:dyDescent="0.35">
      <c r="A16" s="4">
        <v>12</v>
      </c>
      <c r="B16" s="6" t="s">
        <v>31</v>
      </c>
      <c r="C16" s="5" t="s">
        <v>32</v>
      </c>
      <c r="D16" s="4">
        <v>1</v>
      </c>
      <c r="E16" s="4">
        <v>2</v>
      </c>
      <c r="F16" s="4">
        <v>3</v>
      </c>
      <c r="G16" s="4">
        <v>2</v>
      </c>
      <c r="H16" s="4">
        <v>4</v>
      </c>
    </row>
    <row r="17" spans="1:8" x14ac:dyDescent="0.35">
      <c r="A17" s="4">
        <v>13</v>
      </c>
      <c r="B17" s="5" t="s">
        <v>33</v>
      </c>
      <c r="C17" s="6" t="s">
        <v>34</v>
      </c>
      <c r="D17" s="4">
        <v>6</v>
      </c>
      <c r="E17" s="4">
        <v>6</v>
      </c>
      <c r="F17" s="4">
        <v>6</v>
      </c>
      <c r="G17" s="4">
        <v>5</v>
      </c>
      <c r="H17" s="4">
        <v>5</v>
      </c>
    </row>
    <row r="18" spans="1:8" x14ac:dyDescent="0.35">
      <c r="A18" s="4">
        <v>14</v>
      </c>
      <c r="B18" s="5" t="s">
        <v>35</v>
      </c>
      <c r="C18" s="6" t="s">
        <v>36</v>
      </c>
      <c r="D18" s="4">
        <v>7</v>
      </c>
      <c r="E18" s="4">
        <v>6</v>
      </c>
      <c r="F18" s="4">
        <v>4</v>
      </c>
      <c r="G18" s="4">
        <v>5</v>
      </c>
      <c r="H18" s="4">
        <v>5</v>
      </c>
    </row>
    <row r="19" spans="1:8" x14ac:dyDescent="0.35">
      <c r="A19" s="4">
        <v>15</v>
      </c>
      <c r="B19" s="5" t="s">
        <v>37</v>
      </c>
      <c r="C19" s="6" t="s">
        <v>38</v>
      </c>
      <c r="D19" s="4">
        <v>3</v>
      </c>
      <c r="E19" s="4">
        <v>5</v>
      </c>
      <c r="F19" s="4">
        <v>2</v>
      </c>
      <c r="G19" s="4">
        <v>2</v>
      </c>
      <c r="H19" s="4">
        <v>3</v>
      </c>
    </row>
    <row r="20" spans="1:8" x14ac:dyDescent="0.35">
      <c r="A20" s="4">
        <v>16</v>
      </c>
      <c r="B20" s="5" t="s">
        <v>39</v>
      </c>
      <c r="C20" s="6" t="s">
        <v>40</v>
      </c>
      <c r="D20" s="4">
        <v>7</v>
      </c>
      <c r="E20" s="4">
        <v>6</v>
      </c>
      <c r="F20" s="4">
        <v>6</v>
      </c>
      <c r="G20" s="4">
        <v>6</v>
      </c>
      <c r="H20" s="4">
        <v>4</v>
      </c>
    </row>
    <row r="21" spans="1:8" x14ac:dyDescent="0.35">
      <c r="A21" s="4">
        <v>17</v>
      </c>
      <c r="B21" s="6" t="s">
        <v>41</v>
      </c>
      <c r="C21" s="5" t="s">
        <v>42</v>
      </c>
      <c r="D21" s="4">
        <v>1</v>
      </c>
      <c r="E21" s="4">
        <v>5</v>
      </c>
      <c r="F21" s="4">
        <v>4</v>
      </c>
      <c r="G21" s="4">
        <v>2</v>
      </c>
      <c r="H21" s="4">
        <v>6</v>
      </c>
    </row>
    <row r="22" spans="1:8" x14ac:dyDescent="0.35">
      <c r="A22" s="4">
        <v>18</v>
      </c>
      <c r="B22" s="6" t="s">
        <v>43</v>
      </c>
      <c r="C22" s="5" t="s">
        <v>44</v>
      </c>
      <c r="D22" s="4">
        <v>1</v>
      </c>
      <c r="E22" s="4">
        <v>2</v>
      </c>
      <c r="F22" s="4">
        <v>4</v>
      </c>
      <c r="G22" s="4">
        <v>3</v>
      </c>
      <c r="H22" s="4">
        <v>5</v>
      </c>
    </row>
    <row r="23" spans="1:8" x14ac:dyDescent="0.35">
      <c r="A23" s="4">
        <v>19</v>
      </c>
      <c r="B23" s="6" t="s">
        <v>45</v>
      </c>
      <c r="C23" s="5" t="s">
        <v>46</v>
      </c>
      <c r="D23" s="4">
        <v>1</v>
      </c>
      <c r="E23" s="4">
        <v>2</v>
      </c>
      <c r="F23" s="4">
        <v>3</v>
      </c>
      <c r="G23" s="4">
        <v>3</v>
      </c>
      <c r="H23" s="4">
        <v>3</v>
      </c>
    </row>
    <row r="24" spans="1:8" x14ac:dyDescent="0.35">
      <c r="A24" s="4">
        <v>20</v>
      </c>
      <c r="B24" s="5" t="s">
        <v>47</v>
      </c>
      <c r="C24" s="6" t="s">
        <v>48</v>
      </c>
      <c r="D24" s="4">
        <v>7</v>
      </c>
      <c r="E24" s="4">
        <v>6</v>
      </c>
      <c r="F24" s="4">
        <v>6</v>
      </c>
      <c r="G24" s="4">
        <v>6</v>
      </c>
      <c r="H24" s="4">
        <v>3</v>
      </c>
    </row>
    <row r="25" spans="1:8" x14ac:dyDescent="0.35">
      <c r="A25" s="4">
        <v>21</v>
      </c>
      <c r="B25" s="6" t="s">
        <v>49</v>
      </c>
      <c r="C25" s="5" t="s">
        <v>50</v>
      </c>
      <c r="D25" s="4">
        <v>1</v>
      </c>
      <c r="E25" s="4">
        <v>2</v>
      </c>
      <c r="F25" s="4">
        <v>4</v>
      </c>
      <c r="G25" s="4">
        <v>3</v>
      </c>
      <c r="H25" s="4">
        <v>3</v>
      </c>
    </row>
    <row r="26" spans="1:8" x14ac:dyDescent="0.35">
      <c r="A26" s="4">
        <v>22</v>
      </c>
      <c r="B26" s="5" t="s">
        <v>51</v>
      </c>
      <c r="C26" s="6" t="s">
        <v>52</v>
      </c>
      <c r="D26" s="4">
        <v>6</v>
      </c>
      <c r="E26" s="4">
        <v>6</v>
      </c>
      <c r="F26" s="4">
        <v>5</v>
      </c>
      <c r="G26" s="4">
        <v>5</v>
      </c>
      <c r="H26" s="4">
        <v>6</v>
      </c>
    </row>
    <row r="27" spans="1:8" x14ac:dyDescent="0.35">
      <c r="A27" s="4">
        <v>23</v>
      </c>
      <c r="B27" s="6" t="s">
        <v>53</v>
      </c>
      <c r="C27" s="5" t="s">
        <v>54</v>
      </c>
      <c r="D27" s="4">
        <v>1</v>
      </c>
      <c r="E27" s="4">
        <v>1</v>
      </c>
      <c r="F27" s="4">
        <v>3</v>
      </c>
      <c r="G27" s="4">
        <v>2</v>
      </c>
      <c r="H27" s="4">
        <v>3</v>
      </c>
    </row>
    <row r="28" spans="1:8" x14ac:dyDescent="0.35">
      <c r="A28" s="4">
        <v>24</v>
      </c>
      <c r="B28" s="6" t="s">
        <v>55</v>
      </c>
      <c r="C28" s="5" t="s">
        <v>56</v>
      </c>
      <c r="D28" s="4">
        <v>1</v>
      </c>
      <c r="E28" s="4">
        <v>2</v>
      </c>
      <c r="F28" s="4">
        <v>4</v>
      </c>
      <c r="G28" s="4">
        <v>2</v>
      </c>
      <c r="H28" s="4">
        <v>4</v>
      </c>
    </row>
    <row r="29" spans="1:8" x14ac:dyDescent="0.35">
      <c r="A29" s="4">
        <v>25</v>
      </c>
      <c r="B29" s="6" t="s">
        <v>57</v>
      </c>
      <c r="C29" s="5" t="s">
        <v>58</v>
      </c>
      <c r="D29" s="4">
        <v>1</v>
      </c>
      <c r="E29" s="4">
        <v>2</v>
      </c>
      <c r="F29" s="4">
        <v>3</v>
      </c>
      <c r="G29" s="4">
        <v>2</v>
      </c>
      <c r="H29" s="4">
        <v>5</v>
      </c>
    </row>
    <row r="30" spans="1:8" x14ac:dyDescent="0.35">
      <c r="A30" s="4">
        <v>26</v>
      </c>
      <c r="B30" s="5" t="s">
        <v>59</v>
      </c>
      <c r="C30" s="6" t="s">
        <v>60</v>
      </c>
      <c r="D30" s="4">
        <v>7</v>
      </c>
      <c r="E30" s="4">
        <v>2</v>
      </c>
      <c r="F30" s="4">
        <v>3</v>
      </c>
      <c r="G30" s="4">
        <v>2</v>
      </c>
      <c r="H30" s="4">
        <v>2</v>
      </c>
    </row>
    <row r="31" spans="1:8" x14ac:dyDescent="0.35">
      <c r="B31" s="6" t="s">
        <v>61</v>
      </c>
      <c r="C31" s="5"/>
      <c r="D31" s="4" t="s">
        <v>62</v>
      </c>
      <c r="E31" s="4" t="s">
        <v>63</v>
      </c>
      <c r="F31" s="4" t="s">
        <v>64</v>
      </c>
      <c r="G31" s="4" t="s">
        <v>65</v>
      </c>
      <c r="H31" s="4" t="s">
        <v>66</v>
      </c>
    </row>
    <row r="33" spans="1:10" x14ac:dyDescent="0.35">
      <c r="B33" s="3" t="s">
        <v>67</v>
      </c>
      <c r="C33" s="3" t="s">
        <v>68</v>
      </c>
      <c r="D33" s="3" t="s">
        <v>4</v>
      </c>
      <c r="E33" s="3" t="s">
        <v>5</v>
      </c>
      <c r="F33" s="3" t="s">
        <v>6</v>
      </c>
      <c r="G33" s="3" t="s">
        <v>7</v>
      </c>
      <c r="H33" s="3" t="s">
        <v>8</v>
      </c>
      <c r="I33" s="3" t="s">
        <v>69</v>
      </c>
      <c r="J33" s="3" t="s">
        <v>70</v>
      </c>
    </row>
    <row r="34" spans="1:10" x14ac:dyDescent="0.35">
      <c r="B34" s="5" t="s">
        <v>71</v>
      </c>
      <c r="C34" s="5" t="s">
        <v>72</v>
      </c>
      <c r="D34" s="7">
        <f>AVERAGE(D5-4,4-D16,D18-4,D20-4,4-D28,4-D29)</f>
        <v>3</v>
      </c>
      <c r="E34" s="7">
        <f>AVERAGE(E5-4,4-E16,E18-4,E20-4,4-E28,4-E29)</f>
        <v>1.8333333333333333</v>
      </c>
      <c r="F34" s="7">
        <f>AVERAGE(F5-4,4-F16,F18-4,F20-4,4-F28,4-F29)</f>
        <v>0.66666666666666663</v>
      </c>
      <c r="G34" s="7">
        <f>AVERAGE(G5-4,4-G16,G18-4,G20-4,4-G28,4-G29)</f>
        <v>1.6666666666666667</v>
      </c>
      <c r="H34" s="7">
        <f>AVERAGE(H5-4,4-H16,H18-4,H20-4,4-H28,4-H29)</f>
        <v>0.16666666666666666</v>
      </c>
      <c r="I34" s="8">
        <f t="shared" ref="I34:I42" si="0">AVERAGE(D34:H34)</f>
        <v>1.4666666666666668</v>
      </c>
      <c r="J34" s="7">
        <f t="shared" ref="J34:J42" si="1">STDEV(D34:H34)</f>
        <v>1.1017662587358941</v>
      </c>
    </row>
    <row r="35" spans="1:10" x14ac:dyDescent="0.35">
      <c r="B35" s="5" t="s">
        <v>73</v>
      </c>
      <c r="C35" s="5" t="s">
        <v>74</v>
      </c>
      <c r="D35" s="7">
        <f>AVERAGE(D6-4,4-D8,D17-4,4-D25)</f>
        <v>2.5</v>
      </c>
      <c r="E35" s="7">
        <f>AVERAGE(E6-4,4-E8,E17-4,4-E25)</f>
        <v>2</v>
      </c>
      <c r="F35" s="7">
        <f>AVERAGE(F6-4,4-F8,F17-4,4-F25)</f>
        <v>0.25</v>
      </c>
      <c r="G35" s="7">
        <f>AVERAGE(G6-4,4-G8,G17-4,4-G25)</f>
        <v>1</v>
      </c>
      <c r="H35" s="7">
        <f>AVERAGE(H6-4,4-H8,H17-4,4-H25)</f>
        <v>1.25</v>
      </c>
      <c r="I35" s="8">
        <f t="shared" si="0"/>
        <v>1.4</v>
      </c>
      <c r="J35" s="7">
        <f t="shared" si="1"/>
        <v>0.87678389583750904</v>
      </c>
    </row>
    <row r="36" spans="1:10" x14ac:dyDescent="0.35">
      <c r="B36" s="5" t="s">
        <v>75</v>
      </c>
      <c r="C36" s="5" t="s">
        <v>76</v>
      </c>
      <c r="D36" s="7">
        <f>AVERAGE(4-D13,D24-4,D26-4,4-D27)</f>
        <v>2.75</v>
      </c>
      <c r="E36" s="7">
        <f>AVERAGE(4-E13,E24-4,E26-4,4-E27)</f>
        <v>2</v>
      </c>
      <c r="F36" s="7">
        <f>AVERAGE(4-F13,F24-4,F26-4,4-F27)</f>
        <v>1.5</v>
      </c>
      <c r="G36" s="7">
        <f>AVERAGE(4-G13,G24-4,G26-4,4-G27)</f>
        <v>1.75</v>
      </c>
      <c r="H36" s="7">
        <f>AVERAGE(4-H13,H24-4,H26-4,4-H27)</f>
        <v>0.75</v>
      </c>
      <c r="I36" s="8">
        <f t="shared" si="0"/>
        <v>1.75</v>
      </c>
      <c r="J36" s="7">
        <f t="shared" si="1"/>
        <v>0.72886898685566259</v>
      </c>
    </row>
    <row r="37" spans="1:10" x14ac:dyDescent="0.35">
      <c r="B37" s="5" t="s">
        <v>77</v>
      </c>
      <c r="C37" s="5" t="s">
        <v>78</v>
      </c>
      <c r="D37" s="7">
        <f>AVERAGE(D12-4,D15-4,4-D21,4-D23)</f>
        <v>3</v>
      </c>
      <c r="E37" s="7">
        <f>AVERAGE(E12-4,E15-4,4-E21,4-E23)</f>
        <v>0.75</v>
      </c>
      <c r="F37" s="7">
        <f>AVERAGE(F12-4,F15-4,4-F21,4-F23)</f>
        <v>0.75</v>
      </c>
      <c r="G37" s="7">
        <f>AVERAGE(G12-4,G15-4,4-G21,4-G23)</f>
        <v>1.5</v>
      </c>
      <c r="H37" s="7">
        <f>AVERAGE(H12-4,H15-4,4-H21,4-H23)</f>
        <v>0</v>
      </c>
      <c r="I37" s="8">
        <f t="shared" si="0"/>
        <v>1.2</v>
      </c>
      <c r="J37" s="7">
        <f t="shared" si="1"/>
        <v>1.1374313166077326</v>
      </c>
    </row>
    <row r="38" spans="1:10" x14ac:dyDescent="0.35">
      <c r="B38" s="5" t="s">
        <v>79</v>
      </c>
      <c r="C38" s="5" t="s">
        <v>80</v>
      </c>
      <c r="D38" s="7">
        <f>AVERAGE(4-D9,D10-4,D11-4,4-D22)</f>
        <v>2.75</v>
      </c>
      <c r="E38" s="7">
        <f>AVERAGE(4-E9,E10-4,E11-4,4-E22)</f>
        <v>1.5</v>
      </c>
      <c r="F38" s="7">
        <f>AVERAGE(4-F9,F10-4,F11-4,4-F22)</f>
        <v>0</v>
      </c>
      <c r="G38" s="7">
        <f>AVERAGE(4-G9,G10-4,G11-4,4-G22)</f>
        <v>0.75</v>
      </c>
      <c r="H38" s="7">
        <f>AVERAGE(4-H9,H10-4,H11-4,4-H22)</f>
        <v>0</v>
      </c>
      <c r="I38" s="8">
        <f t="shared" si="0"/>
        <v>1</v>
      </c>
      <c r="J38" s="7">
        <f t="shared" si="1"/>
        <v>1.159202311936963</v>
      </c>
    </row>
    <row r="39" spans="1:10" x14ac:dyDescent="0.35">
      <c r="B39" s="5" t="s">
        <v>81</v>
      </c>
      <c r="C39" s="5" t="s">
        <v>82</v>
      </c>
      <c r="D39" s="7">
        <f>AVERAGE(4-D7,4-D14,D19-4,D30-4)</f>
        <v>1.5</v>
      </c>
      <c r="E39" s="7">
        <f>AVERAGE(4-E7,4-E14,E19-4,E30-4)</f>
        <v>0.5</v>
      </c>
      <c r="F39" s="7">
        <f>AVERAGE(4-F7,4-F14,F19-4,F30-4)</f>
        <v>-1.5</v>
      </c>
      <c r="G39" s="7">
        <f>AVERAGE(4-G7,4-G14,G19-4,G30-4)</f>
        <v>-1.25</v>
      </c>
      <c r="H39" s="7">
        <f>AVERAGE(4-H7,4-H14,H19-4,H30-4)</f>
        <v>-1.25</v>
      </c>
      <c r="I39" s="8">
        <f t="shared" si="0"/>
        <v>-0.4</v>
      </c>
      <c r="J39" s="7">
        <f t="shared" si="1"/>
        <v>1.3299436078270386</v>
      </c>
    </row>
    <row r="40" spans="1:10" x14ac:dyDescent="0.35">
      <c r="B40" s="5" t="s">
        <v>83</v>
      </c>
      <c r="C40" s="5" t="s">
        <v>84</v>
      </c>
      <c r="D40" s="7">
        <f>AVERAGE(D15-4,D17-4,D24-4,4-D25)</f>
        <v>2.75</v>
      </c>
      <c r="E40" s="7">
        <f>AVERAGE(E15-4,E17-4,E24-4,4-E25)</f>
        <v>2</v>
      </c>
      <c r="F40" s="7">
        <f>AVERAGE(F15-4,F17-4,F24-4,4-F25)</f>
        <v>1.25</v>
      </c>
      <c r="G40" s="7">
        <f>AVERAGE(G15-4,G17-4,G24-4,4-G25)</f>
        <v>1.5</v>
      </c>
      <c r="H40" s="7">
        <f>AVERAGE(H15-4,H17-4,H24-4,4-H25)</f>
        <v>0.25</v>
      </c>
      <c r="I40" s="8">
        <f t="shared" si="0"/>
        <v>1.55</v>
      </c>
      <c r="J40" s="7">
        <f t="shared" si="1"/>
        <v>0.92533777616608748</v>
      </c>
    </row>
    <row r="41" spans="1:10" x14ac:dyDescent="0.35">
      <c r="B41" s="5" t="s">
        <v>85</v>
      </c>
      <c r="C41" s="5" t="s">
        <v>86</v>
      </c>
      <c r="D41" s="7">
        <f>AVERAGE(D10-4,D11-4,4-D14,D19-4)</f>
        <v>1.25</v>
      </c>
      <c r="E41" s="7">
        <f>AVERAGE(E10-4,E11-4,4-E14,E19-4)</f>
        <v>1</v>
      </c>
      <c r="F41" s="7">
        <f>AVERAGE(F10-4,F11-4,4-F14,F19-4)</f>
        <v>-1</v>
      </c>
      <c r="G41" s="7">
        <f>AVERAGE(G10-4,G11-4,4-G14,G19-4)</f>
        <v>-0.75</v>
      </c>
      <c r="H41" s="7">
        <f>AVERAGE(H10-4,H11-4,4-H14,H19-4)</f>
        <v>-0.75</v>
      </c>
      <c r="I41" s="8">
        <f t="shared" si="0"/>
        <v>-0.05</v>
      </c>
      <c r="J41" s="7">
        <f t="shared" si="1"/>
        <v>1.0810874155219827</v>
      </c>
    </row>
    <row r="42" spans="1:10" x14ac:dyDescent="0.35">
      <c r="B42" s="5" t="s">
        <v>87</v>
      </c>
      <c r="C42" s="5" t="s">
        <v>88</v>
      </c>
      <c r="D42" s="7">
        <f>AVERAGE(D40:D41)</f>
        <v>2</v>
      </c>
      <c r="E42" s="7">
        <f>AVERAGE(E40:E41)</f>
        <v>1.5</v>
      </c>
      <c r="F42" s="7">
        <f>AVERAGE(F40:F41)</f>
        <v>0.125</v>
      </c>
      <c r="G42" s="7">
        <f>AVERAGE(G40:G41)</f>
        <v>0.375</v>
      </c>
      <c r="H42" s="7">
        <f>AVERAGE(H40:H41)</f>
        <v>-0.25</v>
      </c>
      <c r="I42" s="8">
        <f t="shared" si="0"/>
        <v>0.75</v>
      </c>
      <c r="J42" s="7">
        <f t="shared" si="1"/>
        <v>0.9560661587986472</v>
      </c>
    </row>
    <row r="44" spans="1:10" x14ac:dyDescent="0.35">
      <c r="A44" s="9"/>
    </row>
    <row r="45" spans="1:10" x14ac:dyDescent="0.35">
      <c r="A45" s="9"/>
      <c r="B45" s="10"/>
      <c r="C45" s="10"/>
      <c r="D45" s="10"/>
      <c r="E45" s="10"/>
      <c r="F45" s="10"/>
    </row>
    <row r="46" spans="1:10" x14ac:dyDescent="0.35">
      <c r="A46" s="9"/>
      <c r="B46" s="10"/>
      <c r="C46" s="10"/>
      <c r="D46" s="10"/>
      <c r="E46" s="10"/>
    </row>
  </sheetData>
  <pageMargins left="0.75" right="0.75" top="1" bottom="1" header="0.511811023622047" footer="0.511811023622047"/>
  <pageSetup paperSize="9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UEQ 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UEQ answers for SkillUP</dc:title>
  <dc:subject/>
  <dc:creator>Mr. AEM Ahmed</dc:creator>
  <dc:description/>
  <cp:lastModifiedBy>Mr. AEM Ahmed</cp:lastModifiedBy>
  <cp:revision>0</cp:revision>
  <dcterms:created xsi:type="dcterms:W3CDTF">2026-10-11T18:04:21Z</dcterms:created>
  <dcterms:modified xsi:type="dcterms:W3CDTF">2026-10-11T18:27:22Z</dcterms:modified>
  <dc:language>en-US</dc:language>
</cp:coreProperties>
</file>